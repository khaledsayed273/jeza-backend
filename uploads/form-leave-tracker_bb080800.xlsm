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filterPrivacy="1" codeName="ThisWorkbook"/>
  <xr:revisionPtr revIDLastSave="0" documentId="8_{75EE0EDD-EF1C-4E8E-9442-82719E58D576}" xr6:coauthVersionLast="41" xr6:coauthVersionMax="41" xr10:uidLastSave="{00000000-0000-0000-0000-000000000000}"/>
  <bookViews>
    <workbookView xWindow="-120" yWindow="-120" windowWidth="24240" windowHeight="13140" activeTab="2" xr2:uid="{00000000-000D-0000-FFFF-FFFF00000000}"/>
  </bookViews>
  <sheets>
    <sheet name="GS" sheetId="1" r:id="rId1"/>
    <sheet name="RS" sheetId="2" r:id="rId2"/>
    <sheet name="V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K9" i="3" l="1"/>
  <c r="AN9" i="3" s="1"/>
  <c r="AK10" i="3"/>
  <c r="AN10" i="3" s="1"/>
  <c r="AK11" i="3"/>
  <c r="AN11" i="3" s="1"/>
  <c r="AK12" i="3"/>
  <c r="AN12" i="3" s="1"/>
  <c r="AK13" i="3"/>
  <c r="AN13" i="3" s="1"/>
  <c r="AK14" i="3"/>
  <c r="AN14" i="3" s="1"/>
  <c r="AK15" i="3"/>
  <c r="AN15" i="3" s="1"/>
  <c r="AK16" i="3"/>
  <c r="AN16" i="3" s="1"/>
  <c r="AK17" i="3"/>
  <c r="AN17" i="3" s="1"/>
  <c r="AK18" i="3"/>
  <c r="AN18" i="3" s="1"/>
  <c r="AK19" i="3"/>
  <c r="AN19" i="3" s="1"/>
  <c r="AK20" i="3"/>
  <c r="AN20" i="3" s="1"/>
  <c r="F4" i="3"/>
  <c r="S4" i="3" s="1"/>
  <c r="G7" i="3"/>
  <c r="G6" i="3" s="1"/>
  <c r="H7" i="3"/>
  <c r="H6" i="3" s="1"/>
  <c r="I7" i="3"/>
  <c r="I6" i="3" s="1"/>
  <c r="J7" i="3"/>
  <c r="J6" i="3" s="1"/>
  <c r="K7" i="3"/>
  <c r="K6" i="3" s="1"/>
  <c r="L7" i="3"/>
  <c r="L6" i="3" s="1"/>
  <c r="M7" i="3"/>
  <c r="M6" i="3" s="1"/>
  <c r="N7" i="3"/>
  <c r="N6" i="3" s="1"/>
  <c r="O7" i="3"/>
  <c r="O6" i="3" s="1"/>
  <c r="P7" i="3"/>
  <c r="P6" i="3" s="1"/>
  <c r="Q7" i="3"/>
  <c r="Q6" i="3" s="1"/>
  <c r="R7" i="3"/>
  <c r="R6" i="3" s="1"/>
  <c r="S7" i="3"/>
  <c r="S6" i="3" s="1"/>
  <c r="T7" i="3"/>
  <c r="T6" i="3" s="1"/>
  <c r="U7" i="3"/>
  <c r="U6" i="3" s="1"/>
  <c r="V7" i="3"/>
  <c r="V6" i="3" s="1"/>
  <c r="W7" i="3"/>
  <c r="W6" i="3" s="1"/>
  <c r="X7" i="3"/>
  <c r="X6" i="3" s="1"/>
  <c r="Y7" i="3"/>
  <c r="Y6" i="3" s="1"/>
  <c r="Z7" i="3"/>
  <c r="Z6" i="3" s="1"/>
  <c r="AA7" i="3"/>
  <c r="AA6" i="3" s="1"/>
  <c r="AB7" i="3"/>
  <c r="AB6" i="3" s="1"/>
  <c r="AC7" i="3"/>
  <c r="AC6" i="3" s="1"/>
  <c r="AD7" i="3"/>
  <c r="AD6" i="3" s="1"/>
  <c r="AE7" i="3"/>
  <c r="AE6" i="3" s="1"/>
  <c r="AF7" i="3"/>
  <c r="AF6" i="3" s="1"/>
  <c r="AG7" i="3"/>
  <c r="AG6" i="3" s="1"/>
  <c r="AH7" i="3"/>
  <c r="AH6" i="3" s="1"/>
  <c r="AI7" i="3"/>
  <c r="AI6" i="3" s="1"/>
  <c r="AJ7" i="3"/>
  <c r="AJ6" i="3" s="1"/>
  <c r="F7" i="3"/>
  <c r="F6" i="3" s="1"/>
  <c r="H8" i="1"/>
  <c r="H9" i="1"/>
  <c r="H10" i="1"/>
  <c r="H11" i="1"/>
  <c r="H12" i="1"/>
  <c r="H13" i="1"/>
  <c r="H14" i="1"/>
  <c r="H15" i="1"/>
  <c r="H16" i="1"/>
  <c r="H17" i="1"/>
  <c r="H18" i="1"/>
  <c r="G8" i="1"/>
  <c r="G9" i="1"/>
  <c r="G10" i="1"/>
  <c r="G11" i="1"/>
  <c r="G12" i="1"/>
  <c r="G13" i="1"/>
  <c r="G14" i="1"/>
  <c r="G15" i="1"/>
  <c r="G16" i="1"/>
  <c r="G17" i="1"/>
  <c r="G18" i="1"/>
  <c r="R2" i="2"/>
  <c r="R3" i="2"/>
  <c r="R4" i="2"/>
  <c r="R5" i="2"/>
  <c r="R6" i="2"/>
  <c r="R7" i="2"/>
  <c r="R8" i="2"/>
  <c r="R9" i="2"/>
  <c r="R10" i="2"/>
  <c r="R11" i="2"/>
  <c r="R12" i="2"/>
  <c r="R13" i="2"/>
  <c r="E2" i="2"/>
  <c r="E3" i="2"/>
  <c r="E4" i="2"/>
  <c r="E5" i="2"/>
  <c r="E6" i="2"/>
  <c r="E7" i="2"/>
  <c r="E8" i="2"/>
  <c r="E9" i="2"/>
  <c r="E10" i="2"/>
  <c r="E11" i="2"/>
  <c r="E12" i="2"/>
  <c r="E13" i="2"/>
  <c r="D2" i="2"/>
  <c r="D3" i="2"/>
  <c r="D4" i="2"/>
  <c r="D5" i="2"/>
  <c r="D6" i="2"/>
  <c r="D7" i="2"/>
  <c r="D8" i="2"/>
  <c r="D9" i="2"/>
  <c r="D10" i="2"/>
  <c r="D11" i="2"/>
  <c r="D12" i="2"/>
  <c r="D13" i="2"/>
  <c r="C2" i="2"/>
  <c r="C3" i="2"/>
  <c r="C4" i="2"/>
  <c r="C5" i="2"/>
  <c r="C6" i="2"/>
  <c r="C7" i="2"/>
  <c r="C8" i="2"/>
  <c r="C9" i="2"/>
  <c r="C10" i="2"/>
  <c r="C11" i="2"/>
  <c r="C12" i="2"/>
  <c r="C13" i="2"/>
  <c r="B2" i="2"/>
  <c r="B3" i="2"/>
  <c r="B4" i="2"/>
  <c r="B5" i="2"/>
  <c r="B6" i="2"/>
  <c r="B7" i="2"/>
  <c r="B8" i="2"/>
  <c r="B9" i="2"/>
  <c r="B10" i="2"/>
  <c r="B11" i="2"/>
  <c r="B12" i="2"/>
  <c r="B13" i="2"/>
  <c r="H7" i="1"/>
  <c r="G7" i="1"/>
  <c r="I16" i="1" l="1"/>
  <c r="S11" i="2" s="1"/>
  <c r="T11" i="2" s="1"/>
  <c r="I12" i="1"/>
  <c r="S7" i="2" s="1"/>
  <c r="T7" i="2" s="1"/>
  <c r="I8" i="1"/>
  <c r="S3" i="2" s="1"/>
  <c r="T3" i="2" s="1"/>
  <c r="I15" i="1"/>
  <c r="S10" i="2" s="1"/>
  <c r="T10" i="2" s="1"/>
  <c r="I11" i="1"/>
  <c r="S6" i="2" s="1"/>
  <c r="T6" i="2" s="1"/>
  <c r="I18" i="1"/>
  <c r="S13" i="2" s="1"/>
  <c r="T13" i="2" s="1"/>
  <c r="I14" i="1"/>
  <c r="S9" i="2" s="1"/>
  <c r="T9" i="2" s="1"/>
  <c r="I10" i="1"/>
  <c r="S5" i="2" s="1"/>
  <c r="T5" i="2" s="1"/>
  <c r="I17" i="1"/>
  <c r="S12" i="2" s="1"/>
  <c r="T12" i="2" s="1"/>
  <c r="I13" i="1"/>
  <c r="S8" i="2" s="1"/>
  <c r="T8" i="2" s="1"/>
  <c r="I9" i="1"/>
  <c r="S4" i="2" s="1"/>
  <c r="T4" i="2" s="1"/>
  <c r="I7" i="1"/>
  <c r="S2" i="2" s="1"/>
  <c r="T2" i="2" s="1"/>
  <c r="AL11" i="3" l="1"/>
  <c r="J9" i="1"/>
  <c r="AL20" i="3"/>
  <c r="J18" i="1"/>
  <c r="AL14" i="3"/>
  <c r="J12" i="1"/>
  <c r="AL16" i="3"/>
  <c r="J14" i="1"/>
  <c r="AL15" i="3"/>
  <c r="J13" i="1"/>
  <c r="AL19" i="3"/>
  <c r="J17" i="1"/>
  <c r="AL13" i="3"/>
  <c r="J11" i="1"/>
  <c r="AL18" i="3"/>
  <c r="J16" i="1"/>
  <c r="AL10" i="3"/>
  <c r="J8" i="1"/>
  <c r="AL9" i="3"/>
  <c r="J7" i="1"/>
  <c r="AL12" i="3"/>
  <c r="J10" i="1"/>
  <c r="AL17" i="3"/>
  <c r="J15" i="1"/>
</calcChain>
</file>

<file path=xl/sharedStrings.xml><?xml version="1.0" encoding="utf-8"?>
<sst xmlns="http://schemas.openxmlformats.org/spreadsheetml/2006/main" count="175" uniqueCount="104">
  <si>
    <t>القائمة الرئيسية</t>
  </si>
  <si>
    <t xml:space="preserve">الرقم الوظيفي </t>
  </si>
  <si>
    <t>الاسم</t>
  </si>
  <si>
    <t xml:space="preserve">الادارة </t>
  </si>
  <si>
    <t>القسم</t>
  </si>
  <si>
    <t xml:space="preserve">المسمى الوظيفي </t>
  </si>
  <si>
    <t>تاريخ المباشرة</t>
  </si>
  <si>
    <t>=</t>
  </si>
  <si>
    <t>Column1</t>
  </si>
  <si>
    <t xml:space="preserve">عدد ايام الاجازاتمنذ المباشرة </t>
  </si>
  <si>
    <t>عدد ايام الاجازات المتبقي</t>
  </si>
  <si>
    <t>خالد</t>
  </si>
  <si>
    <t>الموارد البشرية</t>
  </si>
  <si>
    <t>العمليات</t>
  </si>
  <si>
    <t>أخصائي موارد بشرية</t>
  </si>
  <si>
    <t>احمد</t>
  </si>
  <si>
    <t>المالية</t>
  </si>
  <si>
    <t>المحاسبة</t>
  </si>
  <si>
    <t>محاسب</t>
  </si>
  <si>
    <t xml:space="preserve">عمر </t>
  </si>
  <si>
    <t>التدقيق</t>
  </si>
  <si>
    <t>بسام</t>
  </si>
  <si>
    <t>التطوير</t>
  </si>
  <si>
    <t>فهد</t>
  </si>
  <si>
    <t>المبيعات</t>
  </si>
  <si>
    <t>خدمة العملاء</t>
  </si>
  <si>
    <t>مدير خدمة العملاء</t>
  </si>
  <si>
    <t xml:space="preserve">سامي </t>
  </si>
  <si>
    <t>التسويق</t>
  </si>
  <si>
    <t>الاعلانات</t>
  </si>
  <si>
    <t>مدير قسم الاعلانات</t>
  </si>
  <si>
    <t>محمد</t>
  </si>
  <si>
    <t>IT</t>
  </si>
  <si>
    <t>الدعم الفني</t>
  </si>
  <si>
    <t xml:space="preserve">فني حاسب </t>
  </si>
  <si>
    <t>عبدالله</t>
  </si>
  <si>
    <t>عبدالرحمن</t>
  </si>
  <si>
    <t xml:space="preserve">موظف اداري </t>
  </si>
  <si>
    <t>مازن</t>
  </si>
  <si>
    <t>مصطفى</t>
  </si>
  <si>
    <t>بلال</t>
  </si>
  <si>
    <t>التدريب</t>
  </si>
  <si>
    <t xml:space="preserve">مشرف </t>
  </si>
  <si>
    <t>Jan-21</t>
  </si>
  <si>
    <t>Feb-21</t>
  </si>
  <si>
    <t>Mar-21</t>
  </si>
  <si>
    <t>Apr-21</t>
  </si>
  <si>
    <t>May-21</t>
  </si>
  <si>
    <t>Jun-21</t>
  </si>
  <si>
    <t>Jul-21</t>
  </si>
  <si>
    <t>Aug-21</t>
  </si>
  <si>
    <t>Sep-21</t>
  </si>
  <si>
    <t>Oct-21</t>
  </si>
  <si>
    <t>Nov-21</t>
  </si>
  <si>
    <t>Dec-21</t>
  </si>
  <si>
    <t>االمجموع</t>
  </si>
  <si>
    <t>الرصيد</t>
  </si>
  <si>
    <t xml:space="preserve">الرصيد المتبقي </t>
  </si>
  <si>
    <t>الشهر</t>
  </si>
  <si>
    <t>السنة</t>
  </si>
  <si>
    <t>الرقم الوظيفي</t>
  </si>
  <si>
    <t>الادارة</t>
  </si>
  <si>
    <t>المسمى الوظيفة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</si>
  <si>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</si>
  <si>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</si>
  <si>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</si>
  <si>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</si>
  <si>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</si>
  <si>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</si>
  <si>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</si>
  <si>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</si>
  <si>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</si>
  <si>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</si>
  <si>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</si>
  <si>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</si>
  <si>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</si>
  <si>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</si>
  <si>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</si>
  <si>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</si>
  <si>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</si>
  <si>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</si>
  <si>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</si>
  <si>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</si>
  <si>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</si>
  <si>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</si>
  <si>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</si>
  <si>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Column25</t>
  </si>
  <si>
    <t>Column26</t>
  </si>
  <si>
    <t>Column27</t>
  </si>
  <si>
    <t>Column28</t>
  </si>
  <si>
    <t>Column29</t>
  </si>
  <si>
    <t>Column30</t>
  </si>
  <si>
    <t>Column31</t>
  </si>
  <si>
    <t>Column32</t>
  </si>
  <si>
    <t>Column33</t>
  </si>
  <si>
    <t>Column34</t>
  </si>
  <si>
    <t>Column35</t>
  </si>
  <si>
    <t>Column36</t>
  </si>
  <si>
    <t>Column37</t>
  </si>
  <si>
    <t>Column38</t>
  </si>
  <si>
    <t>مشرف تدقيق</t>
  </si>
  <si>
    <t>المجموع</t>
  </si>
  <si>
    <t>الرصيد المتبقي</t>
  </si>
  <si>
    <t>جدول الاجازات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</si>
</sst>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m\-yyyy"/>
    <numFmt numFmtId="166" formatCode="dd"/>
  </numFmts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36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Wingdings"/>
      <charset val="2"/>
    </font>
    <font>
      <b/>
      <sz val="24"/>
      <color theme="1"/>
      <name val="Calibri"/>
      <family val="2"/>
      <scheme val="minor"/>
    </font>
    <font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3" fillId="2" borderId="0" xfId="0" applyFont="1" applyFill="1" applyAlignment="1">
      <alignment horizontal="center" vertical="center"/>
    </xf>
    <xf numFmtId="14" fontId="0" fillId="0" borderId="0" xfId="0" applyNumberFormat="1"/>
    <xf numFmtId="0" fontId="0" fillId="0" borderId="2" xfId="0" applyBorder="1"/>
    <xf numFmtId="0" fontId="1" fillId="3" borderId="1" xfId="0" applyFont="1" applyFill="1" applyBorder="1" applyAlignment="1">
      <alignment horizontal="center" vertical="center"/>
    </xf>
    <xf numFmtId="0" fontId="0" fillId="4" borderId="1" xfId="0" applyFill="1" applyBorder="1"/>
    <xf numFmtId="166" fontId="0" fillId="0" borderId="1" xfId="0" applyNumberFormat="1" applyBorder="1"/>
    <xf numFmtId="166" fontId="1" fillId="3" borderId="0" xfId="0" applyNumberFormat="1" applyFont="1" applyFill="1"/>
    <xf numFmtId="0" fontId="1" fillId="3" borderId="0" xfId="0" applyFont="1" applyFill="1"/>
    <xf numFmtId="164" fontId="4" fillId="5" borderId="0" xfId="0" applyNumberFormat="1" applyFont="1" applyFill="1" applyAlignment="1">
      <alignment horizontal="center" vertical="center"/>
    </xf>
    <xf numFmtId="0" fontId="0" fillId="5" borderId="1" xfId="0" applyFill="1" applyBorder="1"/>
    <xf numFmtId="0" fontId="5" fillId="0" borderId="0" xfId="0" applyFont="1"/>
    <xf numFmtId="0" fontId="6" fillId="6" borderId="0" xfId="0" applyFont="1" applyFill="1" applyAlignment="1">
      <alignment horizontal="center"/>
    </xf>
    <xf numFmtId="0" fontId="2" fillId="0" borderId="0" xfId="0" applyFont="1"/>
    <xf numFmtId="0" fontId="7" fillId="0" borderId="0" xfId="0" applyFont="1"/>
  </cellXfs>
  <cellStyles count="1">
    <cellStyle name="Normal" xfId="0" builtinId="0"/>
  </cellStyles>
  <dxfs count="12">
    <dxf>
      <font>
        <color theme="0"/>
      </font>
      <fill>
        <patternFill>
          <bgColor rgb="FF92D05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Spin" dx="22" fmlaLink="$B$5" max="12" min="1" page="10" val="4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2</xdr:row>
          <xdr:rowOff>171450</xdr:rowOff>
        </xdr:from>
        <xdr:to>
          <xdr:col>4</xdr:col>
          <xdr:colOff>447675</xdr:colOff>
          <xdr:row>4</xdr:row>
          <xdr:rowOff>180975</xdr:rowOff>
        </xdr:to>
        <xdr:sp macro="" textlink="">
          <xdr:nvSpPr>
            <xdr:cNvPr id="3073" name="Spinner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5224B1E9-2B77-46F6-AA90-91BAEB7DDF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20</xdr:col>
      <xdr:colOff>285750</xdr:colOff>
      <xdr:row>2</xdr:row>
      <xdr:rowOff>133350</xdr:rowOff>
    </xdr:from>
    <xdr:to>
      <xdr:col>27</xdr:col>
      <xdr:colOff>19050</xdr:colOff>
      <xdr:row>4</xdr:row>
      <xdr:rowOff>95250</xdr:rowOff>
    </xdr:to>
    <xdr:sp macro="[0]!MoveData22" textlink="">
      <xdr:nvSpPr>
        <xdr:cNvPr id="2" name="Rectangle 1">
          <a:extLst>
            <a:ext uri="{FF2B5EF4-FFF2-40B4-BE49-F238E27FC236}">
              <a16:creationId xmlns:a16="http://schemas.microsoft.com/office/drawing/2014/main" id="{F4C1BBC5-C06F-49F1-A3E5-07C3964FC1B4}"/>
            </a:ext>
          </a:extLst>
        </xdr:cNvPr>
        <xdr:cNvSpPr/>
      </xdr:nvSpPr>
      <xdr:spPr>
        <a:xfrm>
          <a:off x="9968445900" y="514350"/>
          <a:ext cx="1800225" cy="342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ar-SA" sz="1100" b="1"/>
            <a:t>الرسال</a:t>
          </a:r>
          <a:r>
            <a:rPr lang="ar-SA" sz="1100" b="1" baseline="0"/>
            <a:t> البيانات</a:t>
          </a:r>
        </a:p>
        <a:p>
          <a:pPr algn="r" rtl="1"/>
          <a:endParaRPr 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9320B05-4238-4C55-9A13-3204637A27AD}" name="GS" displayName="GS" ref="A6:J18" totalsRowShown="0">
  <autoFilter ref="A6:J18" xr:uid="{9E33C21E-B83F-4B82-A254-1FBCA565C946}"/>
  <tableColumns count="10">
    <tableColumn id="1" xr3:uid="{E0DA59DC-6414-4E98-A8E9-131B291685B1}" name="الرقم الوظيفي "/>
    <tableColumn id="2" xr3:uid="{2C3031E4-CBCE-4B2F-BA68-96D366CD799D}" name="الاسم"/>
    <tableColumn id="3" xr3:uid="{FD3DD55B-EC72-43EA-9D8D-BEEF849CD44E}" name="الادارة "/>
    <tableColumn id="4" xr3:uid="{25FAA530-882A-4F90-9D2E-FF247AED3F02}" name="القسم"/>
    <tableColumn id="5" xr3:uid="{934539A1-469C-47F0-B057-BF8509D9DFA2}" name="المسمى الوظيفي "/>
    <tableColumn id="6" xr3:uid="{48D599D4-D5ED-41F7-83F8-1FE172695D0A}" name="تاريخ المباشرة" dataDxfId="11"/>
    <tableColumn id="7" xr3:uid="{0E48CFDD-B8EB-45E0-9A55-4BEE99CA313F}" name="=">
      <calculatedColumnFormula>DATEDIF(F7,TODAY(),"Y")</calculatedColumnFormula>
    </tableColumn>
    <tableColumn id="8" xr3:uid="{C20F789E-58EC-4323-8C27-6589901DCBEF}" name="Column1">
      <calculatedColumnFormula>DATEDIF(F7,TODAY(),"YM")</calculatedColumnFormula>
    </tableColumn>
    <tableColumn id="9" xr3:uid="{6F259CA7-AA59-4031-B088-E4B0EE1B1D13}" name="عدد ايام الاجازاتمنذ المباشرة ">
      <calculatedColumnFormula>(G7*30)+H7*2.5</calculatedColumnFormula>
    </tableColumn>
    <tableColumn id="10" xr3:uid="{38348995-3602-4D66-85F3-2AB323F50440}" name="عدد ايام الاجازات المتبقي" dataDxfId="1">
      <calculatedColumnFormula>VLOOKUP(A7,RS[],20,0)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51E84B1-1E87-4901-8FA4-B4384D5AC71C}" name="RS" displayName="RS" ref="A1:T13" totalsRowShown="0">
  <autoFilter ref="A1:T13" xr:uid="{83F3E6A1-7D18-4C94-AB24-BD89BFDCA3C9}"/>
  <tableColumns count="20">
    <tableColumn id="1" xr3:uid="{74BD16A6-AD62-4EA3-9CD4-C8D820AE7DA4}" name="الرقم الوظيفي "/>
    <tableColumn id="2" xr3:uid="{E49F040E-4A0F-41AB-842F-882D4585FAA7}" name="الاسم" dataDxfId="10">
      <calculatedColumnFormula>VLOOKUP(A2,GS[],2,0)</calculatedColumnFormula>
    </tableColumn>
    <tableColumn id="3" xr3:uid="{7E7CA221-AC07-4947-A8AD-CBCDE40419F1}" name="الادارة " dataDxfId="9">
      <calculatedColumnFormula>VLOOKUP(A2,GS[],3,0)</calculatedColumnFormula>
    </tableColumn>
    <tableColumn id="4" xr3:uid="{4008E123-C008-41B3-9ABE-FAE9B4E8EB46}" name="القسم" dataDxfId="8">
      <calculatedColumnFormula>VLOOKUP(A2,GS[],4,0)</calculatedColumnFormula>
    </tableColumn>
    <tableColumn id="5" xr3:uid="{6C169839-4D11-46C6-B23F-7FC68E2D2066}" name="المسمى الوظيفي " dataDxfId="7">
      <calculatedColumnFormula>VLOOKUP(A2,GS[],5,0)</calculatedColumnFormula>
    </tableColumn>
    <tableColumn id="6" xr3:uid="{3E6B75D9-C074-44E5-A33C-644D86F85328}" name="Jan-21"/>
    <tableColumn id="7" xr3:uid="{E74FCF27-5B13-4953-9FC0-2667EE45FB73}" name="Feb-21"/>
    <tableColumn id="8" xr3:uid="{227232AE-965F-4350-BDE1-801A7032315A}" name="Mar-21"/>
    <tableColumn id="9" xr3:uid="{826E71DE-E70F-4FF6-A5D3-EB1972F68E72}" name="Apr-21"/>
    <tableColumn id="10" xr3:uid="{726CA959-A0BC-401A-8EEE-53324AA27372}" name="May-21"/>
    <tableColumn id="11" xr3:uid="{C85D16D6-9712-4DE7-ADCA-5C2DD8EBB097}" name="Jun-21"/>
    <tableColumn id="12" xr3:uid="{6359C6A6-C7A0-48FA-80F0-2907053CB72F}" name="Jul-21"/>
    <tableColumn id="13" xr3:uid="{87A3C6C6-AD57-4B9C-BBD9-74A820243C6F}" name="Aug-21"/>
    <tableColumn id="14" xr3:uid="{A508F73F-0A70-4817-AE1F-CCAFE9F84BD4}" name="Sep-21"/>
    <tableColumn id="15" xr3:uid="{E20DDB72-0B20-46A8-8CF3-1CBF7917D6D0}" name="Oct-21"/>
    <tableColumn id="16" xr3:uid="{82BBDC06-EFF4-428A-BC68-AAE7486C2994}" name="Nov-21"/>
    <tableColumn id="17" xr3:uid="{2468AEF8-C733-4A90-8BBB-143B4A519DC6}" name="Dec-21"/>
    <tableColumn id="18" xr3:uid="{B44DA9D3-98E0-45AC-A498-84CC4A143830}" name="االمجموع" dataDxfId="6">
      <calculatedColumnFormula>SUM(F2:Q2)</calculatedColumnFormula>
    </tableColumn>
    <tableColumn id="19" xr3:uid="{D116D788-92B5-4FA6-BD20-297B38AD2A3D}" name="الرصيد" dataDxfId="5">
      <calculatedColumnFormula>VLOOKUP(A2,GS[],9,0)</calculatedColumnFormula>
    </tableColumn>
    <tableColumn id="20" xr3:uid="{61A36DE4-26E8-4F1F-9C92-AA37A0DC02D8}" name="الرصيد المتبقي " dataDxfId="4">
      <calculatedColumnFormula>S2-R2</calculatedColumnFormula>
    </tableColumn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C928016-065D-483E-AC03-2E4B4D1821D1}" name="Table3" displayName="Table3" ref="A8:AL20" totalsRowShown="0">
  <autoFilter ref="A8:AL20" xr:uid="{AACA9C1B-A0B4-4643-A740-55459150733E}"/>
  <tableColumns count="38">
    <tableColumn id="1" xr3:uid="{FF2D9D87-52A1-4315-9B8B-DCAD923AFBB2}" name="Column1"/>
    <tableColumn id="2" xr3:uid="{33F9817D-47DF-4E60-9802-213E9A225B17}" name="Column2"/>
    <tableColumn id="3" xr3:uid="{E6E9FC9C-A3EE-41DC-AC38-DE245392254E}" name="Column3"/>
    <tableColumn id="4" xr3:uid="{B6807AE9-A5C0-47CD-900A-95816025FBDB}" name="Column4"/>
    <tableColumn id="5" xr3:uid="{1A5BD08D-E78A-4C78-8CD8-6B35366B2617}" name="Column5"/>
    <tableColumn id="6" xr3:uid="{C086BC48-B6B7-486C-A610-95D3AAFDBD28}" name="Column6"/>
    <tableColumn id="7" xr3:uid="{65170E21-CF06-453E-B9A2-E5C4D680E8DE}" name="Column7"/>
    <tableColumn id="8" xr3:uid="{51DAAB85-260A-40AB-BA57-2C66231E9A4B}" name="Column8"/>
    <tableColumn id="9" xr3:uid="{1FD8E847-AAA4-4202-8113-A8A1C9B008AB}" name="Column9"/>
    <tableColumn id="10" xr3:uid="{B8F03C1E-1EEB-4FCD-A297-5AB4CBCF2449}" name="Column10"/>
    <tableColumn id="11" xr3:uid="{7F901585-0B52-4FF6-A9F9-9A8889954B53}" name="Column11"/>
    <tableColumn id="12" xr3:uid="{70237625-0020-4DB1-B58C-7C059A2551E9}" name="Column12"/>
    <tableColumn id="13" xr3:uid="{D3135F76-4D5D-4D72-8405-3D6ED9CBC86D}" name="Column13"/>
    <tableColumn id="14" xr3:uid="{10527C82-F142-44D1-AFE6-E439DAC8C98E}" name="Column14"/>
    <tableColumn id="15" xr3:uid="{37533414-C139-467D-8774-C97164A08B57}" name="Column15"/>
    <tableColumn id="16" xr3:uid="{75CC342D-3EC1-4F99-9D96-8D88E966E10F}" name="Column16"/>
    <tableColumn id="17" xr3:uid="{2970C4D5-FAE7-48E4-B142-4ADE4888086F}" name="Column17"/>
    <tableColumn id="18" xr3:uid="{0BAE79FC-2FD7-4AA8-80D7-EF757AFE6510}" name="Column18"/>
    <tableColumn id="19" xr3:uid="{BDE0F708-D2F2-4A6A-B012-358283FA1E85}" name="Column19"/>
    <tableColumn id="20" xr3:uid="{9172D2E1-03D9-4191-AFE1-7068872F7128}" name="Column20"/>
    <tableColumn id="21" xr3:uid="{C890415B-FD6E-4C30-BBAA-D1AEFD2BE120}" name="Column21"/>
    <tableColumn id="22" xr3:uid="{9BE2F65B-1E37-4304-933D-919D0A551B4D}" name="Column22"/>
    <tableColumn id="23" xr3:uid="{24A19687-00B8-4E77-9313-3F1E691079CC}" name="Column23"/>
    <tableColumn id="24" xr3:uid="{967F248F-0ECF-4052-9225-012A2429F8FE}" name="Column24"/>
    <tableColumn id="25" xr3:uid="{F11139D6-80FA-4F4E-82BF-93F09B205915}" name="Column25"/>
    <tableColumn id="26" xr3:uid="{5FCED7CA-D2E1-4DF5-8293-0BDE8C263331}" name="Column26"/>
    <tableColumn id="27" xr3:uid="{CF4B809A-2FD1-4D6A-A3B5-F1EED9CD0304}" name="Column27"/>
    <tableColumn id="28" xr3:uid="{BCB0CA98-88FC-41A6-B11A-FBA19B261562}" name="Column28"/>
    <tableColumn id="29" xr3:uid="{BE863E12-8E7A-4CBE-ACEE-5D2EAAAB7E0A}" name="Column29"/>
    <tableColumn id="30" xr3:uid="{661D73DF-E5E1-4823-8EDF-ABC00663889A}" name="Column30"/>
    <tableColumn id="31" xr3:uid="{951C7542-E640-47F6-A66E-67F2958716D2}" name="Column31"/>
    <tableColumn id="32" xr3:uid="{EA0A07F4-5BB4-415A-8B87-6B67F417E147}" name="Column32"/>
    <tableColumn id="33" xr3:uid="{169CDCC2-30E8-4440-B6B5-BACDA85197FF}" name="Column33"/>
    <tableColumn id="34" xr3:uid="{6769EF66-990D-476F-891F-138BAFC31CF1}" name="Column34"/>
    <tableColumn id="35" xr3:uid="{2112A863-0006-48CB-B3A8-3964DEF02951}" name="Column35"/>
    <tableColumn id="36" xr3:uid="{13E7FF1F-DBF6-4903-9BCE-0AAD73C2D092}" name="Column36"/>
    <tableColumn id="37" xr3:uid="{2FB5104F-C5DD-45AB-8E54-F83B1791DA03}" name="Column37" dataDxfId="3">
      <calculatedColumnFormula>COUNTA(F9:AJ9)</calculatedColumnFormula>
    </tableColumn>
    <tableColumn id="38" xr3:uid="{DF588B05-310E-4C2D-BC09-19AE6D807740}" name="Column38" dataDxfId="2">
      <calculatedColumnFormula>VLOOKUP(A9,RS[],20)</calculatedColumnFormula>
    </tableColumn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18"/>
  <sheetViews>
    <sheetView rightToLeft="1" workbookViewId="0">
      <selection activeCell="D23" sqref="D23"/>
    </sheetView>
  </sheetViews>
  <sheetFormatPr defaultRowHeight="15" x14ac:dyDescent="0.25"/>
  <cols>
    <col min="1" max="1" width="12.7109375" customWidth="1"/>
    <col min="2" max="2" width="8.7109375" bestFit="1" customWidth="1"/>
    <col min="3" max="3" width="10.85546875" bestFit="1" customWidth="1"/>
    <col min="4" max="4" width="10.42578125" bestFit="1" customWidth="1"/>
    <col min="5" max="5" width="15.28515625" bestFit="1" customWidth="1"/>
    <col min="6" max="6" width="13.140625" customWidth="1"/>
    <col min="7" max="7" width="10" hidden="1" customWidth="1"/>
    <col min="8" max="8" width="11" hidden="1" customWidth="1"/>
    <col min="9" max="9" width="23" customWidth="1"/>
    <col min="10" max="10" width="20.42578125" customWidth="1"/>
  </cols>
  <sheetData>
    <row r="1" spans="1:10" x14ac:dyDescent="0.25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</row>
    <row r="2" spans="1:10" x14ac:dyDescent="0.25">
      <c r="A2" s="1"/>
      <c r="B2" s="1"/>
      <c r="C2" s="1"/>
      <c r="D2" s="1"/>
      <c r="E2" s="1"/>
      <c r="F2" s="1"/>
      <c r="G2" s="1"/>
      <c r="H2" s="1"/>
      <c r="I2" s="1"/>
      <c r="J2" s="1"/>
    </row>
    <row r="3" spans="1:10" x14ac:dyDescent="0.25">
      <c r="A3" s="1"/>
      <c r="B3" s="1"/>
      <c r="C3" s="1"/>
      <c r="D3" s="1"/>
      <c r="E3" s="1"/>
      <c r="F3" s="1"/>
      <c r="G3" s="1"/>
      <c r="H3" s="1"/>
      <c r="I3" s="1"/>
      <c r="J3" s="1"/>
    </row>
    <row r="4" spans="1:10" x14ac:dyDescent="0.25">
      <c r="A4" s="1"/>
      <c r="B4" s="1"/>
      <c r="C4" s="1"/>
      <c r="D4" s="1"/>
      <c r="E4" s="1"/>
      <c r="F4" s="1"/>
      <c r="G4" s="1"/>
      <c r="H4" s="1"/>
      <c r="I4" s="1"/>
      <c r="J4" s="1"/>
    </row>
    <row r="5" spans="1:10" x14ac:dyDescent="0.25">
      <c r="A5" s="1"/>
      <c r="B5" s="1"/>
      <c r="C5" s="1"/>
      <c r="D5" s="1"/>
      <c r="E5" s="1"/>
      <c r="F5" s="1"/>
      <c r="G5" s="1"/>
      <c r="H5" s="1"/>
      <c r="I5" s="1"/>
      <c r="J5" s="1"/>
    </row>
    <row r="6" spans="1:10" x14ac:dyDescent="0.25">
      <c r="A6" t="s">
        <v>1</v>
      </c>
      <c r="B6" t="s">
        <v>2</v>
      </c>
      <c r="C6" t="s">
        <v>3</v>
      </c>
      <c r="D6" t="s">
        <v>4</v>
      </c>
      <c r="E6" t="s">
        <v>5</v>
      </c>
      <c r="F6" t="s">
        <v>6</v>
      </c>
      <c r="G6" t="s">
        <v>7</v>
      </c>
      <c r="H6" t="s">
        <v>8</v>
      </c>
      <c r="I6" t="s">
        <v>9</v>
      </c>
      <c r="J6" t="s">
        <v>10</v>
      </c>
    </row>
    <row r="7" spans="1:10" x14ac:dyDescent="0.25">
      <c r="A7">
        <v>1</v>
      </c>
      <c r="B7" t="s">
        <v>11</v>
      </c>
      <c r="C7" t="s">
        <v>12</v>
      </c>
      <c r="D7" t="s">
        <v>13</v>
      </c>
      <c r="E7" t="s">
        <v>14</v>
      </c>
      <c r="F7" s="2">
        <v>43466</v>
      </c>
      <c r="G7">
        <f ca="1">DATEDIF(F7,TODAY(),"Y")</f>
        <v>2</v>
      </c>
      <c r="H7">
        <f ca="1">DATEDIF(F7,TODAY(),"YM")</f>
        <v>0</v>
      </c>
      <c r="I7">
        <f ca="1">(G7*30)+H7*2.5</f>
        <v>60</v>
      </c>
      <c r="J7">
        <f ca="1">VLOOKUP(A7,RS[],20,0)</f>
        <v>54</v>
      </c>
    </row>
    <row r="8" spans="1:10" x14ac:dyDescent="0.25">
      <c r="A8">
        <v>2</v>
      </c>
      <c r="B8" t="s">
        <v>15</v>
      </c>
      <c r="C8" t="s">
        <v>16</v>
      </c>
      <c r="D8" t="s">
        <v>17</v>
      </c>
      <c r="E8" t="s">
        <v>18</v>
      </c>
      <c r="F8" s="2">
        <v>43467</v>
      </c>
      <c r="G8">
        <f t="shared" ref="G8:G18" ca="1" si="0">DATEDIF(F8,TODAY(),"Y")</f>
        <v>2</v>
      </c>
      <c r="H8">
        <f t="shared" ref="H8:H18" ca="1" si="1">DATEDIF(F8,TODAY(),"YM")</f>
        <v>0</v>
      </c>
      <c r="I8">
        <f t="shared" ref="I8:I18" ca="1" si="2">(G8*30)+H8*2.5</f>
        <v>60</v>
      </c>
      <c r="J8">
        <f ca="1">VLOOKUP(A8,RS[],20,0)</f>
        <v>54</v>
      </c>
    </row>
    <row r="9" spans="1:10" x14ac:dyDescent="0.25">
      <c r="A9">
        <v>3</v>
      </c>
      <c r="B9" t="s">
        <v>19</v>
      </c>
      <c r="C9" t="s">
        <v>16</v>
      </c>
      <c r="D9" t="s">
        <v>20</v>
      </c>
      <c r="E9" t="s">
        <v>100</v>
      </c>
      <c r="F9" s="2">
        <v>43468</v>
      </c>
      <c r="G9">
        <f t="shared" ca="1" si="0"/>
        <v>2</v>
      </c>
      <c r="H9">
        <f t="shared" ca="1" si="1"/>
        <v>0</v>
      </c>
      <c r="I9">
        <f t="shared" ca="1" si="2"/>
        <v>60</v>
      </c>
      <c r="J9">
        <f ca="1">VLOOKUP(A9,RS[],20,0)</f>
        <v>57</v>
      </c>
    </row>
    <row r="10" spans="1:10" x14ac:dyDescent="0.25">
      <c r="A10">
        <v>4</v>
      </c>
      <c r="B10" t="s">
        <v>21</v>
      </c>
      <c r="C10" t="s">
        <v>12</v>
      </c>
      <c r="D10" t="s">
        <v>22</v>
      </c>
      <c r="E10" t="s">
        <v>14</v>
      </c>
      <c r="F10" s="2">
        <v>43469</v>
      </c>
      <c r="G10">
        <f t="shared" ca="1" si="0"/>
        <v>2</v>
      </c>
      <c r="H10">
        <f t="shared" ca="1" si="1"/>
        <v>0</v>
      </c>
      <c r="I10">
        <f t="shared" ca="1" si="2"/>
        <v>60</v>
      </c>
      <c r="J10">
        <f ca="1">VLOOKUP(A10,RS[],20,0)</f>
        <v>57</v>
      </c>
    </row>
    <row r="11" spans="1:10" x14ac:dyDescent="0.25">
      <c r="A11">
        <v>5</v>
      </c>
      <c r="B11" t="s">
        <v>23</v>
      </c>
      <c r="C11" t="s">
        <v>24</v>
      </c>
      <c r="D11" t="s">
        <v>25</v>
      </c>
      <c r="E11" t="s">
        <v>26</v>
      </c>
      <c r="F11" s="2">
        <v>43470</v>
      </c>
      <c r="G11">
        <f t="shared" ca="1" si="0"/>
        <v>2</v>
      </c>
      <c r="H11">
        <f t="shared" ca="1" si="1"/>
        <v>0</v>
      </c>
      <c r="I11">
        <f t="shared" ca="1" si="2"/>
        <v>60</v>
      </c>
      <c r="J11">
        <f ca="1">VLOOKUP(A11,RS[],20,0)</f>
        <v>59</v>
      </c>
    </row>
    <row r="12" spans="1:10" x14ac:dyDescent="0.25">
      <c r="A12">
        <v>6</v>
      </c>
      <c r="B12" t="s">
        <v>27</v>
      </c>
      <c r="C12" t="s">
        <v>28</v>
      </c>
      <c r="D12" t="s">
        <v>29</v>
      </c>
      <c r="E12" t="s">
        <v>30</v>
      </c>
      <c r="F12" s="2">
        <v>43471</v>
      </c>
      <c r="G12">
        <f t="shared" ca="1" si="0"/>
        <v>2</v>
      </c>
      <c r="H12">
        <f t="shared" ca="1" si="1"/>
        <v>0</v>
      </c>
      <c r="I12">
        <f t="shared" ca="1" si="2"/>
        <v>60</v>
      </c>
      <c r="J12">
        <f ca="1">VLOOKUP(A12,RS[],20,0)</f>
        <v>59</v>
      </c>
    </row>
    <row r="13" spans="1:10" x14ac:dyDescent="0.25">
      <c r="A13">
        <v>7</v>
      </c>
      <c r="B13" t="s">
        <v>31</v>
      </c>
      <c r="C13" t="s">
        <v>32</v>
      </c>
      <c r="D13" t="s">
        <v>33</v>
      </c>
      <c r="E13" t="s">
        <v>34</v>
      </c>
      <c r="F13" s="2">
        <v>43472</v>
      </c>
      <c r="G13">
        <f t="shared" ca="1" si="0"/>
        <v>2</v>
      </c>
      <c r="H13">
        <f t="shared" ca="1" si="1"/>
        <v>0</v>
      </c>
      <c r="I13">
        <f t="shared" ca="1" si="2"/>
        <v>60</v>
      </c>
      <c r="J13">
        <f ca="1">VLOOKUP(A13,RS[],20,0)</f>
        <v>59</v>
      </c>
    </row>
    <row r="14" spans="1:10" x14ac:dyDescent="0.25">
      <c r="A14">
        <v>8</v>
      </c>
      <c r="B14" t="s">
        <v>35</v>
      </c>
      <c r="C14" t="s">
        <v>32</v>
      </c>
      <c r="D14" t="s">
        <v>33</v>
      </c>
      <c r="E14" t="s">
        <v>34</v>
      </c>
      <c r="F14" s="2">
        <v>43473</v>
      </c>
      <c r="G14">
        <f t="shared" ca="1" si="0"/>
        <v>2</v>
      </c>
      <c r="H14">
        <f t="shared" ca="1" si="1"/>
        <v>0</v>
      </c>
      <c r="I14">
        <f t="shared" ca="1" si="2"/>
        <v>60</v>
      </c>
      <c r="J14">
        <f ca="1">VLOOKUP(A14,RS[],20,0)</f>
        <v>59</v>
      </c>
    </row>
    <row r="15" spans="1:10" x14ac:dyDescent="0.25">
      <c r="A15">
        <v>9</v>
      </c>
      <c r="B15" t="s">
        <v>36</v>
      </c>
      <c r="C15" t="s">
        <v>28</v>
      </c>
      <c r="D15" t="s">
        <v>29</v>
      </c>
      <c r="E15" t="s">
        <v>37</v>
      </c>
      <c r="F15" s="2">
        <v>43474</v>
      </c>
      <c r="G15">
        <f t="shared" ca="1" si="0"/>
        <v>2</v>
      </c>
      <c r="H15">
        <f t="shared" ca="1" si="1"/>
        <v>0</v>
      </c>
      <c r="I15">
        <f t="shared" ca="1" si="2"/>
        <v>60</v>
      </c>
      <c r="J15">
        <f ca="1">VLOOKUP(A15,RS[],20,0)</f>
        <v>59</v>
      </c>
    </row>
    <row r="16" spans="1:10" x14ac:dyDescent="0.25">
      <c r="A16">
        <v>10</v>
      </c>
      <c r="B16" t="s">
        <v>38</v>
      </c>
      <c r="C16" t="s">
        <v>24</v>
      </c>
      <c r="D16" t="s">
        <v>25</v>
      </c>
      <c r="E16" t="s">
        <v>37</v>
      </c>
      <c r="F16" s="2">
        <v>43475</v>
      </c>
      <c r="G16">
        <f t="shared" ca="1" si="0"/>
        <v>2</v>
      </c>
      <c r="H16">
        <f t="shared" ca="1" si="1"/>
        <v>0</v>
      </c>
      <c r="I16">
        <f t="shared" ca="1" si="2"/>
        <v>60</v>
      </c>
      <c r="J16">
        <f ca="1">VLOOKUP(A16,RS[],20,0)</f>
        <v>59</v>
      </c>
    </row>
    <row r="17" spans="1:10" x14ac:dyDescent="0.25">
      <c r="A17">
        <v>11</v>
      </c>
      <c r="B17" t="s">
        <v>39</v>
      </c>
      <c r="C17" t="s">
        <v>12</v>
      </c>
      <c r="D17" t="s">
        <v>22</v>
      </c>
      <c r="E17" t="s">
        <v>14</v>
      </c>
      <c r="F17" s="2">
        <v>43476</v>
      </c>
      <c r="G17">
        <f t="shared" ca="1" si="0"/>
        <v>2</v>
      </c>
      <c r="H17">
        <f t="shared" ca="1" si="1"/>
        <v>0</v>
      </c>
      <c r="I17">
        <f t="shared" ca="1" si="2"/>
        <v>60</v>
      </c>
      <c r="J17">
        <f ca="1">VLOOKUP(A17,RS[],20,0)</f>
        <v>59</v>
      </c>
    </row>
    <row r="18" spans="1:10" x14ac:dyDescent="0.25">
      <c r="A18">
        <v>12</v>
      </c>
      <c r="B18" t="s">
        <v>40</v>
      </c>
      <c r="C18" t="s">
        <v>12</v>
      </c>
      <c r="D18" t="s">
        <v>41</v>
      </c>
      <c r="E18" t="s">
        <v>42</v>
      </c>
      <c r="F18" s="2">
        <v>43477</v>
      </c>
      <c r="G18">
        <f t="shared" ca="1" si="0"/>
        <v>2</v>
      </c>
      <c r="H18">
        <f t="shared" ca="1" si="1"/>
        <v>0</v>
      </c>
      <c r="I18">
        <f t="shared" ca="1" si="2"/>
        <v>60</v>
      </c>
      <c r="J18">
        <f ca="1">VLOOKUP(A18,RS[],20,0)</f>
        <v>59</v>
      </c>
    </row>
  </sheetData>
  <mergeCells count="1">
    <mergeCell ref="A1:J5"/>
  </mergeCell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9EFCC-DA7C-412D-BDF4-7450D566DDFE}">
  <sheetPr codeName="Sheet2"/>
  <dimension ref="A1:T13"/>
  <sheetViews>
    <sheetView rightToLeft="1" workbookViewId="0">
      <selection activeCell="F19" sqref="F19"/>
    </sheetView>
  </sheetViews>
  <sheetFormatPr defaultRowHeight="15" x14ac:dyDescent="0.25"/>
  <cols>
    <col min="1" max="1" width="12.7109375" customWidth="1"/>
    <col min="2" max="2" width="8.7109375" bestFit="1" customWidth="1"/>
    <col min="3" max="3" width="10.85546875" bestFit="1" customWidth="1"/>
    <col min="4" max="4" width="10.42578125" bestFit="1" customWidth="1"/>
    <col min="5" max="5" width="15.7109375" bestFit="1" customWidth="1"/>
    <col min="6" max="6" width="8.7109375" customWidth="1"/>
    <col min="7" max="7" width="9.140625" customWidth="1"/>
    <col min="8" max="8" width="9.28515625" customWidth="1"/>
    <col min="9" max="9" width="9" customWidth="1"/>
    <col min="10" max="10" width="9.5703125" customWidth="1"/>
    <col min="11" max="11" width="8.85546875" customWidth="1"/>
    <col min="12" max="12" width="8.28515625" customWidth="1"/>
    <col min="13" max="13" width="9.28515625" customWidth="1"/>
    <col min="14" max="14" width="9.140625" customWidth="1"/>
    <col min="15" max="15" width="8.85546875" customWidth="1"/>
    <col min="16" max="16" width="9.42578125" customWidth="1"/>
    <col min="17" max="17" width="9.140625" customWidth="1"/>
    <col min="18" max="18" width="9.7109375" customWidth="1"/>
    <col min="19" max="19" width="7.85546875" customWidth="1"/>
    <col min="20" max="20" width="13.42578125" customWidth="1"/>
  </cols>
  <sheetData>
    <row r="1" spans="1:20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43</v>
      </c>
      <c r="G1" t="s">
        <v>44</v>
      </c>
      <c r="H1" t="s">
        <v>45</v>
      </c>
      <c r="I1" t="s">
        <v>46</v>
      </c>
      <c r="J1" t="s">
        <v>47</v>
      </c>
      <c r="K1" t="s">
        <v>48</v>
      </c>
      <c r="L1" t="s">
        <v>49</v>
      </c>
      <c r="M1" t="s">
        <v>50</v>
      </c>
      <c r="N1" t="s">
        <v>51</v>
      </c>
      <c r="O1" t="s">
        <v>52</v>
      </c>
      <c r="P1" t="s">
        <v>53</v>
      </c>
      <c r="Q1" t="s">
        <v>54</v>
      </c>
      <c r="R1" t="s">
        <v>55</v>
      </c>
      <c r="S1" t="s">
        <v>56</v>
      </c>
      <c r="T1" t="s">
        <v>57</v>
      </c>
    </row>
    <row r="2" spans="1:20" x14ac:dyDescent="0.25">
      <c r="A2">
        <v>1</v>
      </c>
      <c r="B2" t="str">
        <f>VLOOKUP(A2,GS[],2,0)</f>
        <v>خالد</v>
      </c>
      <c r="C2" t="str">
        <f>VLOOKUP(A2,GS[],3,0)</f>
        <v>الموارد البشرية</v>
      </c>
      <c r="D2" t="str">
        <f>VLOOKUP(A2,GS[],4,0)</f>
        <v>العمليات</v>
      </c>
      <c r="E2" t="str">
        <f>VLOOKUP(A2,GS[],5,0)</f>
        <v>أخصائي موارد بشرية</v>
      </c>
      <c r="F2">
        <v>2</v>
      </c>
      <c r="G2">
        <v>3</v>
      </c>
      <c r="I2">
        <v>1</v>
      </c>
      <c r="R2">
        <f t="shared" ref="R2:R13" si="0">SUM(F2:Q2)</f>
        <v>6</v>
      </c>
      <c r="S2">
        <f ca="1">VLOOKUP(A2,GS[],9,0)</f>
        <v>60</v>
      </c>
      <c r="T2">
        <f t="shared" ref="T2:T13" ca="1" si="1">S2-R2</f>
        <v>54</v>
      </c>
    </row>
    <row r="3" spans="1:20" x14ac:dyDescent="0.25">
      <c r="A3">
        <v>2</v>
      </c>
      <c r="B3" t="str">
        <f>VLOOKUP(A3,GS[],2,0)</f>
        <v>احمد</v>
      </c>
      <c r="C3" t="str">
        <f>VLOOKUP(A3,GS[],3,0)</f>
        <v>المالية</v>
      </c>
      <c r="D3" t="str">
        <f>VLOOKUP(A3,GS[],4,0)</f>
        <v>المحاسبة</v>
      </c>
      <c r="E3" t="str">
        <f>VLOOKUP(A3,GS[],5,0)</f>
        <v>محاسب</v>
      </c>
      <c r="F3">
        <v>2</v>
      </c>
      <c r="G3">
        <v>3</v>
      </c>
      <c r="I3">
        <v>1</v>
      </c>
      <c r="R3">
        <f t="shared" si="0"/>
        <v>6</v>
      </c>
      <c r="S3">
        <f ca="1">VLOOKUP(A3,GS[],9,0)</f>
        <v>60</v>
      </c>
      <c r="T3">
        <f t="shared" ca="1" si="1"/>
        <v>54</v>
      </c>
    </row>
    <row r="4" spans="1:20" x14ac:dyDescent="0.25">
      <c r="A4">
        <v>3</v>
      </c>
      <c r="B4" t="str">
        <f>VLOOKUP(A4,GS[],2,0)</f>
        <v xml:space="preserve">عمر </v>
      </c>
      <c r="C4" t="str">
        <f>VLOOKUP(A4,GS[],3,0)</f>
        <v>المالية</v>
      </c>
      <c r="D4" t="str">
        <f>VLOOKUP(A4,GS[],4,0)</f>
        <v>التدقيق</v>
      </c>
      <c r="E4" t="str">
        <f>VLOOKUP(A4,GS[],5,0)</f>
        <v>مشرف تدقيق</v>
      </c>
      <c r="F4">
        <v>2</v>
      </c>
      <c r="G4">
        <v>0</v>
      </c>
      <c r="I4">
        <v>1</v>
      </c>
      <c r="R4">
        <f t="shared" si="0"/>
        <v>3</v>
      </c>
      <c r="S4">
        <f ca="1">VLOOKUP(A4,GS[],9,0)</f>
        <v>60</v>
      </c>
      <c r="T4">
        <f t="shared" ca="1" si="1"/>
        <v>57</v>
      </c>
    </row>
    <row r="5" spans="1:20" x14ac:dyDescent="0.25">
      <c r="A5">
        <v>4</v>
      </c>
      <c r="B5" t="str">
        <f>VLOOKUP(A5,GS[],2,0)</f>
        <v>بسام</v>
      </c>
      <c r="C5" t="str">
        <f>VLOOKUP(A5,GS[],3,0)</f>
        <v>الموارد البشرية</v>
      </c>
      <c r="D5" t="str">
        <f>VLOOKUP(A5,GS[],4,0)</f>
        <v>التطوير</v>
      </c>
      <c r="E5" t="str">
        <f>VLOOKUP(A5,GS[],5,0)</f>
        <v>أخصائي موارد بشرية</v>
      </c>
      <c r="F5">
        <v>2</v>
      </c>
      <c r="G5">
        <v>0</v>
      </c>
      <c r="I5">
        <v>1</v>
      </c>
      <c r="R5">
        <f t="shared" si="0"/>
        <v>3</v>
      </c>
      <c r="S5">
        <f ca="1">VLOOKUP(A5,GS[],9,0)</f>
        <v>60</v>
      </c>
      <c r="T5">
        <f t="shared" ca="1" si="1"/>
        <v>57</v>
      </c>
    </row>
    <row r="6" spans="1:20" x14ac:dyDescent="0.25">
      <c r="A6">
        <v>5</v>
      </c>
      <c r="B6" t="str">
        <f>VLOOKUP(A6,GS[],2,0)</f>
        <v>فهد</v>
      </c>
      <c r="C6" t="str">
        <f>VLOOKUP(A6,GS[],3,0)</f>
        <v>المبيعات</v>
      </c>
      <c r="D6" t="str">
        <f>VLOOKUP(A6,GS[],4,0)</f>
        <v>خدمة العملاء</v>
      </c>
      <c r="E6" t="str">
        <f>VLOOKUP(A6,GS[],5,0)</f>
        <v>مدير خدمة العملاء</v>
      </c>
      <c r="F6">
        <v>0</v>
      </c>
      <c r="G6">
        <v>0</v>
      </c>
      <c r="I6">
        <v>1</v>
      </c>
      <c r="R6">
        <f t="shared" si="0"/>
        <v>1</v>
      </c>
      <c r="S6">
        <f ca="1">VLOOKUP(A6,GS[],9,0)</f>
        <v>60</v>
      </c>
      <c r="T6">
        <f t="shared" ca="1" si="1"/>
        <v>59</v>
      </c>
    </row>
    <row r="7" spans="1:20" x14ac:dyDescent="0.25">
      <c r="A7">
        <v>6</v>
      </c>
      <c r="B7" t="str">
        <f>VLOOKUP(A7,GS[],2,0)</f>
        <v xml:space="preserve">سامي </v>
      </c>
      <c r="C7" t="str">
        <f>VLOOKUP(A7,GS[],3,0)</f>
        <v>التسويق</v>
      </c>
      <c r="D7" t="str">
        <f>VLOOKUP(A7,GS[],4,0)</f>
        <v>الاعلانات</v>
      </c>
      <c r="E7" t="str">
        <f>VLOOKUP(A7,GS[],5,0)</f>
        <v>مدير قسم الاعلانات</v>
      </c>
      <c r="F7">
        <v>0</v>
      </c>
      <c r="G7">
        <v>0</v>
      </c>
      <c r="I7">
        <v>1</v>
      </c>
      <c r="R7">
        <f t="shared" si="0"/>
        <v>1</v>
      </c>
      <c r="S7">
        <f ca="1">VLOOKUP(A7,GS[],9,0)</f>
        <v>60</v>
      </c>
      <c r="T7">
        <f t="shared" ca="1" si="1"/>
        <v>59</v>
      </c>
    </row>
    <row r="8" spans="1:20" x14ac:dyDescent="0.25">
      <c r="A8">
        <v>7</v>
      </c>
      <c r="B8" t="str">
        <f>VLOOKUP(A8,GS[],2,0)</f>
        <v>محمد</v>
      </c>
      <c r="C8" t="str">
        <f>VLOOKUP(A8,GS[],3,0)</f>
        <v>IT</v>
      </c>
      <c r="D8" t="str">
        <f>VLOOKUP(A8,GS[],4,0)</f>
        <v>الدعم الفني</v>
      </c>
      <c r="E8" t="str">
        <f>VLOOKUP(A8,GS[],5,0)</f>
        <v xml:space="preserve">فني حاسب </v>
      </c>
      <c r="F8">
        <v>0</v>
      </c>
      <c r="G8">
        <v>0</v>
      </c>
      <c r="I8">
        <v>1</v>
      </c>
      <c r="R8">
        <f t="shared" si="0"/>
        <v>1</v>
      </c>
      <c r="S8">
        <f ca="1">VLOOKUP(A8,GS[],9,0)</f>
        <v>60</v>
      </c>
      <c r="T8">
        <f t="shared" ca="1" si="1"/>
        <v>59</v>
      </c>
    </row>
    <row r="9" spans="1:20" x14ac:dyDescent="0.25">
      <c r="A9">
        <v>8</v>
      </c>
      <c r="B9" t="str">
        <f>VLOOKUP(A9,GS[],2,0)</f>
        <v>عبدالله</v>
      </c>
      <c r="C9" t="str">
        <f>VLOOKUP(A9,GS[],3,0)</f>
        <v>IT</v>
      </c>
      <c r="D9" t="str">
        <f>VLOOKUP(A9,GS[],4,0)</f>
        <v>الدعم الفني</v>
      </c>
      <c r="E9" t="str">
        <f>VLOOKUP(A9,GS[],5,0)</f>
        <v xml:space="preserve">فني حاسب </v>
      </c>
      <c r="F9">
        <v>0</v>
      </c>
      <c r="G9">
        <v>0</v>
      </c>
      <c r="I9">
        <v>1</v>
      </c>
      <c r="R9">
        <f t="shared" si="0"/>
        <v>1</v>
      </c>
      <c r="S9">
        <f ca="1">VLOOKUP(A9,GS[],9,0)</f>
        <v>60</v>
      </c>
      <c r="T9">
        <f t="shared" ca="1" si="1"/>
        <v>59</v>
      </c>
    </row>
    <row r="10" spans="1:20" x14ac:dyDescent="0.25">
      <c r="A10">
        <v>9</v>
      </c>
      <c r="B10" t="str">
        <f>VLOOKUP(A10,GS[],2,0)</f>
        <v>عبدالرحمن</v>
      </c>
      <c r="C10" t="str">
        <f>VLOOKUP(A10,GS[],3,0)</f>
        <v>التسويق</v>
      </c>
      <c r="D10" t="str">
        <f>VLOOKUP(A10,GS[],4,0)</f>
        <v>الاعلانات</v>
      </c>
      <c r="E10" t="str">
        <f>VLOOKUP(A10,GS[],5,0)</f>
        <v xml:space="preserve">موظف اداري </v>
      </c>
      <c r="F10">
        <v>0</v>
      </c>
      <c r="G10">
        <v>0</v>
      </c>
      <c r="I10">
        <v>1</v>
      </c>
      <c r="R10">
        <f t="shared" si="0"/>
        <v>1</v>
      </c>
      <c r="S10">
        <f ca="1">VLOOKUP(A10,GS[],9,0)</f>
        <v>60</v>
      </c>
      <c r="T10">
        <f t="shared" ca="1" si="1"/>
        <v>59</v>
      </c>
    </row>
    <row r="11" spans="1:20" x14ac:dyDescent="0.25">
      <c r="A11">
        <v>10</v>
      </c>
      <c r="B11" t="str">
        <f>VLOOKUP(A11,GS[],2,0)</f>
        <v>مازن</v>
      </c>
      <c r="C11" t="str">
        <f>VLOOKUP(A11,GS[],3,0)</f>
        <v>المبيعات</v>
      </c>
      <c r="D11" t="str">
        <f>VLOOKUP(A11,GS[],4,0)</f>
        <v>خدمة العملاء</v>
      </c>
      <c r="E11" t="str">
        <f>VLOOKUP(A11,GS[],5,0)</f>
        <v xml:space="preserve">موظف اداري </v>
      </c>
      <c r="F11">
        <v>0</v>
      </c>
      <c r="G11">
        <v>0</v>
      </c>
      <c r="I11">
        <v>1</v>
      </c>
      <c r="R11">
        <f t="shared" si="0"/>
        <v>1</v>
      </c>
      <c r="S11">
        <f ca="1">VLOOKUP(A11,GS[],9,0)</f>
        <v>60</v>
      </c>
      <c r="T11">
        <f t="shared" ca="1" si="1"/>
        <v>59</v>
      </c>
    </row>
    <row r="12" spans="1:20" x14ac:dyDescent="0.25">
      <c r="A12">
        <v>11</v>
      </c>
      <c r="B12" t="str">
        <f>VLOOKUP(A12,GS[],2,0)</f>
        <v>مصطفى</v>
      </c>
      <c r="C12" t="str">
        <f>VLOOKUP(A12,GS[],3,0)</f>
        <v>الموارد البشرية</v>
      </c>
      <c r="D12" t="str">
        <f>VLOOKUP(A12,GS[],4,0)</f>
        <v>التطوير</v>
      </c>
      <c r="E12" t="str">
        <f>VLOOKUP(A12,GS[],5,0)</f>
        <v>أخصائي موارد بشرية</v>
      </c>
      <c r="F12">
        <v>0</v>
      </c>
      <c r="G12">
        <v>0</v>
      </c>
      <c r="I12">
        <v>1</v>
      </c>
      <c r="R12">
        <f t="shared" si="0"/>
        <v>1</v>
      </c>
      <c r="S12">
        <f ca="1">VLOOKUP(A12,GS[],9,0)</f>
        <v>60</v>
      </c>
      <c r="T12">
        <f t="shared" ca="1" si="1"/>
        <v>59</v>
      </c>
    </row>
    <row r="13" spans="1:20" x14ac:dyDescent="0.25">
      <c r="A13">
        <v>12</v>
      </c>
      <c r="B13" t="str">
        <f>VLOOKUP(A13,GS[],2,0)</f>
        <v>بلال</v>
      </c>
      <c r="C13" t="str">
        <f>VLOOKUP(A13,GS[],3,0)</f>
        <v>الموارد البشرية</v>
      </c>
      <c r="D13" t="str">
        <f>VLOOKUP(A13,GS[],4,0)</f>
        <v>التدريب</v>
      </c>
      <c r="E13" t="str">
        <f>VLOOKUP(A13,GS[],5,0)</f>
        <v xml:space="preserve">مشرف </v>
      </c>
      <c r="F13">
        <v>0</v>
      </c>
      <c r="G13">
        <v>0</v>
      </c>
      <c r="I13">
        <v>1</v>
      </c>
      <c r="R13">
        <f t="shared" si="0"/>
        <v>1</v>
      </c>
      <c r="S13">
        <f ca="1">VLOOKUP(A13,GS[],9,0)</f>
        <v>60</v>
      </c>
      <c r="T13">
        <f t="shared" ca="1" si="1"/>
        <v>59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740883-9543-44D1-8EC5-3E418E3C744D}">
  <sheetPr codeName="Sheet3">
    <pageSetUpPr fitToPage="1"/>
  </sheetPr>
  <dimension ref="A1:AN21"/>
  <sheetViews>
    <sheetView rightToLeft="1" tabSelected="1" topLeftCell="C1" workbookViewId="0">
      <selection activeCell="L26" sqref="L26"/>
    </sheetView>
  </sheetViews>
  <sheetFormatPr defaultRowHeight="15" x14ac:dyDescent="0.25"/>
  <cols>
    <col min="1" max="4" width="11.140625" bestFit="1" customWidth="1"/>
    <col min="5" max="5" width="15.28515625" bestFit="1" customWidth="1"/>
    <col min="6" max="36" width="4.42578125" customWidth="1"/>
    <col min="37" max="37" width="7.85546875" customWidth="1"/>
    <col min="38" max="38" width="11.42578125" customWidth="1"/>
  </cols>
  <sheetData>
    <row r="1" spans="1:40" x14ac:dyDescent="0.25">
      <c r="A1" s="12" t="s">
        <v>103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</row>
    <row r="2" spans="1:40" x14ac:dyDescent="0.25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2"/>
      <c r="AL2" s="12"/>
    </row>
    <row r="4" spans="1:40" x14ac:dyDescent="0.25">
      <c r="B4" s="10" t="s">
        <v>58</v>
      </c>
      <c r="C4" s="10" t="s">
        <v>59</v>
      </c>
      <c r="F4" s="9">
        <f>DATE($C$5,$B$5,COLUMN(A:A))</f>
        <v>44287</v>
      </c>
      <c r="G4" s="9"/>
      <c r="H4" s="9"/>
      <c r="I4" s="9"/>
      <c r="J4" s="9"/>
      <c r="K4" s="9"/>
      <c r="L4" s="9"/>
      <c r="M4" s="9"/>
      <c r="N4" s="9"/>
      <c r="O4" s="9"/>
      <c r="P4" s="9"/>
      <c r="S4" s="13" t="str">
        <f>TEXT(F4,"MMM")</f>
        <v>Apr</v>
      </c>
    </row>
    <row r="5" spans="1:40" x14ac:dyDescent="0.25">
      <c r="B5" s="3">
        <v>4</v>
      </c>
      <c r="C5" s="3">
        <v>2021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</row>
    <row r="6" spans="1:40" x14ac:dyDescent="0.25">
      <c r="A6" s="4" t="s">
        <v>60</v>
      </c>
      <c r="B6" s="4" t="s">
        <v>2</v>
      </c>
      <c r="C6" s="4" t="s">
        <v>61</v>
      </c>
      <c r="D6" s="4" t="s">
        <v>4</v>
      </c>
      <c r="E6" s="4" t="s">
        <v>62</v>
      </c>
      <c r="F6" s="5" t="str">
        <f>TEXT(F7,"DDD")</f>
        <v>Thu</v>
      </c>
      <c r="G6" s="5" t="str">
        <f t="shared" ref="G6:AJ6" si="0">TEXT(G7,"DDD")</f>
        <v>Fri</v>
      </c>
      <c r="H6" s="5" t="str">
        <f t="shared" si="0"/>
        <v>Sat</v>
      </c>
      <c r="I6" s="5" t="str">
        <f t="shared" si="0"/>
        <v>Sun</v>
      </c>
      <c r="J6" s="5" t="str">
        <f t="shared" si="0"/>
        <v>Mon</v>
      </c>
      <c r="K6" s="5" t="str">
        <f t="shared" si="0"/>
        <v>Tue</v>
      </c>
      <c r="L6" s="5" t="str">
        <f t="shared" si="0"/>
        <v>Wed</v>
      </c>
      <c r="M6" s="5" t="str">
        <f t="shared" si="0"/>
        <v>Thu</v>
      </c>
      <c r="N6" s="5" t="str">
        <f t="shared" si="0"/>
        <v>Fri</v>
      </c>
      <c r="O6" s="5" t="str">
        <f t="shared" si="0"/>
        <v>Sat</v>
      </c>
      <c r="P6" s="5" t="str">
        <f t="shared" si="0"/>
        <v>Sun</v>
      </c>
      <c r="Q6" s="5" t="str">
        <f t="shared" si="0"/>
        <v>Mon</v>
      </c>
      <c r="R6" s="5" t="str">
        <f t="shared" si="0"/>
        <v>Tue</v>
      </c>
      <c r="S6" s="5" t="str">
        <f t="shared" si="0"/>
        <v>Wed</v>
      </c>
      <c r="T6" s="5" t="str">
        <f t="shared" si="0"/>
        <v>Thu</v>
      </c>
      <c r="U6" s="5" t="str">
        <f t="shared" si="0"/>
        <v>Fri</v>
      </c>
      <c r="V6" s="5" t="str">
        <f t="shared" si="0"/>
        <v>Sat</v>
      </c>
      <c r="W6" s="5" t="str">
        <f t="shared" si="0"/>
        <v>Sun</v>
      </c>
      <c r="X6" s="5" t="str">
        <f t="shared" si="0"/>
        <v>Mon</v>
      </c>
      <c r="Y6" s="5" t="str">
        <f t="shared" si="0"/>
        <v>Tue</v>
      </c>
      <c r="Z6" s="5" t="str">
        <f t="shared" si="0"/>
        <v>Wed</v>
      </c>
      <c r="AA6" s="5" t="str">
        <f t="shared" si="0"/>
        <v>Thu</v>
      </c>
      <c r="AB6" s="5" t="str">
        <f t="shared" si="0"/>
        <v>Fri</v>
      </c>
      <c r="AC6" s="5" t="str">
        <f t="shared" si="0"/>
        <v>Sat</v>
      </c>
      <c r="AD6" s="5" t="str">
        <f t="shared" si="0"/>
        <v>Sun</v>
      </c>
      <c r="AE6" s="5" t="str">
        <f t="shared" si="0"/>
        <v>Mon</v>
      </c>
      <c r="AF6" s="5" t="str">
        <f t="shared" si="0"/>
        <v>Tue</v>
      </c>
      <c r="AG6" s="5" t="str">
        <f t="shared" si="0"/>
        <v>Wed</v>
      </c>
      <c r="AH6" s="5" t="str">
        <f t="shared" si="0"/>
        <v>Thu</v>
      </c>
      <c r="AI6" s="5" t="str">
        <f t="shared" si="0"/>
        <v>Fri</v>
      </c>
      <c r="AJ6" s="5" t="str">
        <f t="shared" si="0"/>
        <v>Sat</v>
      </c>
    </row>
    <row r="7" spans="1:40" x14ac:dyDescent="0.25">
      <c r="A7" s="4"/>
      <c r="B7" s="4"/>
      <c r="C7" s="4"/>
      <c r="D7" s="4"/>
      <c r="E7" s="4"/>
      <c r="F7" s="6">
        <f>DATE($C$5,$B$5,COLUMN(A:A))</f>
        <v>44287</v>
      </c>
      <c r="G7" s="6">
        <f>DATE($C$5,$B$5,COLUMN(B:B))</f>
        <v>44288</v>
      </c>
      <c r="H7" s="6">
        <f>DATE($C$5,$B$5,COLUMN(C:C))</f>
        <v>44289</v>
      </c>
      <c r="I7" s="6">
        <f>DATE($C$5,$B$5,COLUMN(D:D))</f>
        <v>44290</v>
      </c>
      <c r="J7" s="6">
        <f>DATE($C$5,$B$5,COLUMN(E:E))</f>
        <v>44291</v>
      </c>
      <c r="K7" s="6">
        <f>DATE($C$5,$B$5,COLUMN(F:F))</f>
        <v>44292</v>
      </c>
      <c r="L7" s="6">
        <f>DATE($C$5,$B$5,COLUMN(G:G))</f>
        <v>44293</v>
      </c>
      <c r="M7" s="6">
        <f>DATE($C$5,$B$5,COLUMN(H:H))</f>
        <v>44294</v>
      </c>
      <c r="N7" s="6">
        <f>DATE($C$5,$B$5,COLUMN(I:I))</f>
        <v>44295</v>
      </c>
      <c r="O7" s="6">
        <f>DATE($C$5,$B$5,COLUMN(J:J))</f>
        <v>44296</v>
      </c>
      <c r="P7" s="6">
        <f>DATE($C$5,$B$5,COLUMN(K:K))</f>
        <v>44297</v>
      </c>
      <c r="Q7" s="6">
        <f>DATE($C$5,$B$5,COLUMN(L:L))</f>
        <v>44298</v>
      </c>
      <c r="R7" s="6">
        <f>DATE($C$5,$B$5,COLUMN(M:M))</f>
        <v>44299</v>
      </c>
      <c r="S7" s="6">
        <f>DATE($C$5,$B$5,COLUMN(N:N))</f>
        <v>44300</v>
      </c>
      <c r="T7" s="6">
        <f>DATE($C$5,$B$5,COLUMN(O:O))</f>
        <v>44301</v>
      </c>
      <c r="U7" s="6">
        <f>DATE($C$5,$B$5,COLUMN(P:P))</f>
        <v>44302</v>
      </c>
      <c r="V7" s="6">
        <f>DATE($C$5,$B$5,COLUMN(Q:Q))</f>
        <v>44303</v>
      </c>
      <c r="W7" s="6">
        <f>DATE($C$5,$B$5,COLUMN(R:R))</f>
        <v>44304</v>
      </c>
      <c r="X7" s="6">
        <f>DATE($C$5,$B$5,COLUMN(S:S))</f>
        <v>44305</v>
      </c>
      <c r="Y7" s="6">
        <f>DATE($C$5,$B$5,COLUMN(T:T))</f>
        <v>44306</v>
      </c>
      <c r="Z7" s="6">
        <f>DATE($C$5,$B$5,COLUMN(U:U))</f>
        <v>44307</v>
      </c>
      <c r="AA7" s="6">
        <f>DATE($C$5,$B$5,COLUMN(V:V))</f>
        <v>44308</v>
      </c>
      <c r="AB7" s="6">
        <f>DATE($C$5,$B$5,COLUMN(W:W))</f>
        <v>44309</v>
      </c>
      <c r="AC7" s="6">
        <f>DATE($C$5,$B$5,COLUMN(X:X))</f>
        <v>44310</v>
      </c>
      <c r="AD7" s="6">
        <f>DATE($C$5,$B$5,COLUMN(Y:Y))</f>
        <v>44311</v>
      </c>
      <c r="AE7" s="6">
        <f>DATE($C$5,$B$5,COLUMN(Z:Z))</f>
        <v>44312</v>
      </c>
      <c r="AF7" s="6">
        <f>DATE($C$5,$B$5,COLUMN(AA:AA))</f>
        <v>44313</v>
      </c>
      <c r="AG7" s="6">
        <f>DATE($C$5,$B$5,COLUMN(AB:AB))</f>
        <v>44314</v>
      </c>
      <c r="AH7" s="6">
        <f>DATE($C$5,$B$5,COLUMN(AC:AC))</f>
        <v>44315</v>
      </c>
      <c r="AI7" s="6">
        <f>DATE($C$5,$B$5,COLUMN(AD:AD))</f>
        <v>44316</v>
      </c>
      <c r="AJ7" s="6">
        <f>DATE($C$5,$B$5,COLUMN(AE:AE))</f>
        <v>44317</v>
      </c>
      <c r="AK7" s="7" t="s">
        <v>101</v>
      </c>
      <c r="AL7" s="8" t="s">
        <v>102</v>
      </c>
      <c r="AN7" s="14"/>
    </row>
    <row r="8" spans="1:40" hidden="1" x14ac:dyDescent="0.25">
      <c r="A8" t="s">
        <v>8</v>
      </c>
      <c r="B8" t="s">
        <v>63</v>
      </c>
      <c r="C8" t="s">
        <v>64</v>
      </c>
      <c r="D8" t="s">
        <v>65</v>
      </c>
      <c r="E8" t="s">
        <v>66</v>
      </c>
      <c r="F8" t="s">
        <v>67</v>
      </c>
      <c r="G8" t="s">
        <v>68</v>
      </c>
      <c r="H8" t="s">
        <v>69</v>
      </c>
      <c r="I8" t="s">
        <v>70</v>
      </c>
      <c r="J8" t="s">
        <v>71</v>
      </c>
      <c r="K8" t="s">
        <v>72</v>
      </c>
      <c r="L8" t="s">
        <v>73</v>
      </c>
      <c r="M8" t="s">
        <v>74</v>
      </c>
      <c r="N8" t="s">
        <v>75</v>
      </c>
      <c r="O8" t="s">
        <v>76</v>
      </c>
      <c r="P8" t="s">
        <v>77</v>
      </c>
      <c r="Q8" t="s">
        <v>78</v>
      </c>
      <c r="R8" t="s">
        <v>79</v>
      </c>
      <c r="S8" t="s">
        <v>80</v>
      </c>
      <c r="T8" t="s">
        <v>81</v>
      </c>
      <c r="U8" t="s">
        <v>82</v>
      </c>
      <c r="V8" t="s">
        <v>83</v>
      </c>
      <c r="W8" t="s">
        <v>84</v>
      </c>
      <c r="X8" t="s">
        <v>85</v>
      </c>
      <c r="Y8" t="s">
        <v>86</v>
      </c>
      <c r="Z8" t="s">
        <v>87</v>
      </c>
      <c r="AA8" t="s">
        <v>88</v>
      </c>
      <c r="AB8" t="s">
        <v>89</v>
      </c>
      <c r="AC8" t="s">
        <v>90</v>
      </c>
      <c r="AD8" t="s">
        <v>91</v>
      </c>
      <c r="AE8" t="s">
        <v>92</v>
      </c>
      <c r="AF8" t="s">
        <v>93</v>
      </c>
      <c r="AG8" t="s">
        <v>94</v>
      </c>
      <c r="AH8" t="s">
        <v>95</v>
      </c>
      <c r="AI8" t="s">
        <v>96</v>
      </c>
      <c r="AJ8" t="s">
        <v>97</v>
      </c>
      <c r="AK8" t="s">
        <v>98</v>
      </c>
      <c r="AL8" t="s">
        <v>99</v>
      </c>
      <c r="AN8" s="14"/>
    </row>
    <row r="9" spans="1:40" x14ac:dyDescent="0.25">
      <c r="A9">
        <v>1</v>
      </c>
      <c r="B9" t="s">
        <v>11</v>
      </c>
      <c r="C9" t="s">
        <v>12</v>
      </c>
      <c r="D9" t="s">
        <v>13</v>
      </c>
      <c r="E9" t="s">
        <v>14</v>
      </c>
      <c r="F9" s="11"/>
      <c r="G9" s="11"/>
      <c r="H9" s="11"/>
      <c r="I9" s="11"/>
      <c r="J9" s="11"/>
      <c r="K9" s="11"/>
      <c r="L9" s="11"/>
      <c r="O9" s="11"/>
      <c r="P9" s="11"/>
      <c r="Q9" s="11"/>
      <c r="R9" s="11"/>
      <c r="S9" s="11"/>
      <c r="W9" s="11"/>
      <c r="X9" s="11"/>
      <c r="Y9" s="11"/>
      <c r="Z9" s="11"/>
      <c r="AA9" s="11"/>
      <c r="AB9" s="11"/>
      <c r="AC9" s="11"/>
      <c r="AK9">
        <f t="shared" ref="AK9:AK20" si="1">COUNTA(F9:AJ9)</f>
        <v>0</v>
      </c>
      <c r="AL9">
        <f ca="1">VLOOKUP(A9,RS[],20)</f>
        <v>54</v>
      </c>
      <c r="AN9" s="14">
        <f>AK9</f>
        <v>0</v>
      </c>
    </row>
    <row r="10" spans="1:40" x14ac:dyDescent="0.25">
      <c r="A10">
        <v>2</v>
      </c>
      <c r="B10" t="s">
        <v>15</v>
      </c>
      <c r="C10" t="s">
        <v>16</v>
      </c>
      <c r="D10" t="s">
        <v>17</v>
      </c>
      <c r="E10" t="s">
        <v>18</v>
      </c>
      <c r="F10" s="11"/>
      <c r="G10" s="11"/>
      <c r="H10" s="11"/>
      <c r="J10" s="11"/>
      <c r="K10" s="11"/>
      <c r="L10" s="11"/>
      <c r="AK10">
        <f t="shared" si="1"/>
        <v>0</v>
      </c>
      <c r="AL10">
        <f ca="1">VLOOKUP(A10,RS[],20)</f>
        <v>54</v>
      </c>
      <c r="AN10" s="14">
        <f t="shared" ref="AN10:AN20" si="2">AK10</f>
        <v>0</v>
      </c>
    </row>
    <row r="11" spans="1:40" x14ac:dyDescent="0.25">
      <c r="A11">
        <v>3</v>
      </c>
      <c r="B11" t="s">
        <v>19</v>
      </c>
      <c r="C11" t="s">
        <v>16</v>
      </c>
      <c r="D11" t="s">
        <v>20</v>
      </c>
      <c r="E11" t="s">
        <v>100</v>
      </c>
      <c r="F11" s="11"/>
      <c r="G11" s="11"/>
      <c r="K11" s="11"/>
      <c r="AK11">
        <f t="shared" si="1"/>
        <v>0</v>
      </c>
      <c r="AL11">
        <f ca="1">VLOOKUP(A11,RS[],20)</f>
        <v>57</v>
      </c>
      <c r="AN11" s="14">
        <f t="shared" si="2"/>
        <v>0</v>
      </c>
    </row>
    <row r="12" spans="1:40" x14ac:dyDescent="0.25">
      <c r="A12">
        <v>4</v>
      </c>
      <c r="B12" t="s">
        <v>21</v>
      </c>
      <c r="C12" t="s">
        <v>12</v>
      </c>
      <c r="D12" t="s">
        <v>22</v>
      </c>
      <c r="E12" t="s">
        <v>14</v>
      </c>
      <c r="F12" s="11"/>
      <c r="G12" s="11"/>
      <c r="K12" s="11"/>
      <c r="AK12">
        <f t="shared" si="1"/>
        <v>0</v>
      </c>
      <c r="AL12">
        <f ca="1">VLOOKUP(A12,RS[],20)</f>
        <v>57</v>
      </c>
      <c r="AN12" s="14">
        <f t="shared" si="2"/>
        <v>0</v>
      </c>
    </row>
    <row r="13" spans="1:40" x14ac:dyDescent="0.25">
      <c r="A13">
        <v>5</v>
      </c>
      <c r="B13" t="s">
        <v>23</v>
      </c>
      <c r="C13" t="s">
        <v>24</v>
      </c>
      <c r="D13" t="s">
        <v>25</v>
      </c>
      <c r="E13" t="s">
        <v>26</v>
      </c>
      <c r="F13" s="11"/>
      <c r="K13" s="11"/>
      <c r="AK13">
        <f t="shared" si="1"/>
        <v>0</v>
      </c>
      <c r="AL13">
        <f ca="1">VLOOKUP(A13,RS[],20)</f>
        <v>59</v>
      </c>
      <c r="AN13" s="14">
        <f t="shared" si="2"/>
        <v>0</v>
      </c>
    </row>
    <row r="14" spans="1:40" x14ac:dyDescent="0.25">
      <c r="A14">
        <v>6</v>
      </c>
      <c r="B14" t="s">
        <v>27</v>
      </c>
      <c r="C14" t="s">
        <v>28</v>
      </c>
      <c r="D14" t="s">
        <v>29</v>
      </c>
      <c r="E14" t="s">
        <v>30</v>
      </c>
      <c r="F14" s="11"/>
      <c r="K14" s="11"/>
      <c r="AK14">
        <f t="shared" si="1"/>
        <v>0</v>
      </c>
      <c r="AL14">
        <f ca="1">VLOOKUP(A14,RS[],20)</f>
        <v>59</v>
      </c>
      <c r="AN14" s="14">
        <f t="shared" si="2"/>
        <v>0</v>
      </c>
    </row>
    <row r="15" spans="1:40" x14ac:dyDescent="0.25">
      <c r="A15">
        <v>7</v>
      </c>
      <c r="B15" t="s">
        <v>31</v>
      </c>
      <c r="C15" t="s">
        <v>32</v>
      </c>
      <c r="D15" t="s">
        <v>33</v>
      </c>
      <c r="E15" t="s">
        <v>34</v>
      </c>
      <c r="F15" s="11"/>
      <c r="AK15">
        <f t="shared" si="1"/>
        <v>0</v>
      </c>
      <c r="AL15">
        <f ca="1">VLOOKUP(A15,RS[],20)</f>
        <v>59</v>
      </c>
      <c r="AN15" s="14">
        <f t="shared" si="2"/>
        <v>0</v>
      </c>
    </row>
    <row r="16" spans="1:40" x14ac:dyDescent="0.25">
      <c r="A16">
        <v>8</v>
      </c>
      <c r="B16" t="s">
        <v>35</v>
      </c>
      <c r="C16" t="s">
        <v>32</v>
      </c>
      <c r="D16" t="s">
        <v>33</v>
      </c>
      <c r="E16" t="s">
        <v>34</v>
      </c>
      <c r="F16" s="11"/>
      <c r="AK16">
        <f t="shared" si="1"/>
        <v>0</v>
      </c>
      <c r="AL16">
        <f ca="1">VLOOKUP(A16,RS[],20)</f>
        <v>59</v>
      </c>
      <c r="AN16" s="14">
        <f t="shared" si="2"/>
        <v>0</v>
      </c>
    </row>
    <row r="17" spans="1:40" x14ac:dyDescent="0.25">
      <c r="A17">
        <v>9</v>
      </c>
      <c r="B17" t="s">
        <v>36</v>
      </c>
      <c r="C17" t="s">
        <v>28</v>
      </c>
      <c r="D17" t="s">
        <v>29</v>
      </c>
      <c r="E17" t="s">
        <v>37</v>
      </c>
      <c r="F17" s="11"/>
      <c r="AK17">
        <f t="shared" si="1"/>
        <v>0</v>
      </c>
      <c r="AL17">
        <f ca="1">VLOOKUP(A17,RS[],20)</f>
        <v>59</v>
      </c>
      <c r="AN17" s="14">
        <f t="shared" si="2"/>
        <v>0</v>
      </c>
    </row>
    <row r="18" spans="1:40" x14ac:dyDescent="0.25">
      <c r="A18">
        <v>10</v>
      </c>
      <c r="B18" t="s">
        <v>38</v>
      </c>
      <c r="C18" t="s">
        <v>24</v>
      </c>
      <c r="D18" t="s">
        <v>25</v>
      </c>
      <c r="E18" t="s">
        <v>37</v>
      </c>
      <c r="F18" s="11"/>
      <c r="AK18">
        <f t="shared" si="1"/>
        <v>0</v>
      </c>
      <c r="AL18">
        <f ca="1">VLOOKUP(A18,RS[],20)</f>
        <v>59</v>
      </c>
      <c r="AN18" s="14">
        <f t="shared" si="2"/>
        <v>0</v>
      </c>
    </row>
    <row r="19" spans="1:40" x14ac:dyDescent="0.25">
      <c r="A19">
        <v>11</v>
      </c>
      <c r="B19" t="s">
        <v>39</v>
      </c>
      <c r="C19" t="s">
        <v>12</v>
      </c>
      <c r="D19" t="s">
        <v>22</v>
      </c>
      <c r="E19" t="s">
        <v>14</v>
      </c>
      <c r="F19" s="11"/>
      <c r="AK19">
        <f t="shared" si="1"/>
        <v>0</v>
      </c>
      <c r="AL19">
        <f ca="1">VLOOKUP(A19,RS[],20)</f>
        <v>59</v>
      </c>
      <c r="AN19" s="14">
        <f t="shared" si="2"/>
        <v>0</v>
      </c>
    </row>
    <row r="20" spans="1:40" x14ac:dyDescent="0.25">
      <c r="A20">
        <v>12</v>
      </c>
      <c r="B20" t="s">
        <v>40</v>
      </c>
      <c r="C20" t="s">
        <v>12</v>
      </c>
      <c r="D20" t="s">
        <v>41</v>
      </c>
      <c r="E20" t="s">
        <v>42</v>
      </c>
      <c r="F20" s="11"/>
      <c r="G20" s="11"/>
      <c r="H20" s="11"/>
      <c r="I20" s="11"/>
      <c r="AK20">
        <f t="shared" si="1"/>
        <v>0</v>
      </c>
      <c r="AL20">
        <f ca="1">VLOOKUP(A20,RS[],20)</f>
        <v>59</v>
      </c>
      <c r="AN20" s="14">
        <f t="shared" si="2"/>
        <v>0</v>
      </c>
    </row>
    <row r="21" spans="1:40" x14ac:dyDescent="0.25">
      <c r="AN21" s="14"/>
    </row>
  </sheetData>
  <mergeCells count="7">
    <mergeCell ref="A1:AL2"/>
    <mergeCell ref="A6:A7"/>
    <mergeCell ref="B6:B7"/>
    <mergeCell ref="C6:C7"/>
    <mergeCell ref="D6:D7"/>
    <mergeCell ref="E6:E7"/>
    <mergeCell ref="F4:P5"/>
  </mergeCells>
  <conditionalFormatting sqref="F9:AJ20">
    <cfRule type="cellIs" dxfId="0" priority="1" operator="equal">
      <formula>"ü"</formula>
    </cfRule>
  </conditionalFormatting>
  <pageMargins left="0.7" right="0.7" top="0.75" bottom="0.75" header="0.3" footer="0.3"/>
  <pageSetup scale="52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Spinner 1">
              <controlPr defaultSize="0" autoPict="0">
                <anchor moveWithCells="1" sizeWithCells="1">
                  <from>
                    <xdr:col>4</xdr:col>
                    <xdr:colOff>57150</xdr:colOff>
                    <xdr:row>2</xdr:row>
                    <xdr:rowOff>171450</xdr:rowOff>
                  </from>
                  <to>
                    <xdr:col>4</xdr:col>
                    <xdr:colOff>447675</xdr:colOff>
                    <xdr:row>4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GS</vt:lpstr>
      <vt:lpstr>RS</vt:lpstr>
      <vt:lpstr>VS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2021-01-15T14:30:30Z</dcterms:modified>
</cp:coreProperties>
</file>